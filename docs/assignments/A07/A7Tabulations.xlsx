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Users\17049\Documents\Schoollin\Fall 2026\Design Projects I Lecture\A7\"/>
    </mc:Choice>
  </mc:AlternateContent>
  <xr:revisionPtr revIDLastSave="0" documentId="13_ncr:1_{8FEB3554-AC7E-42FA-914B-C7DD59395B9B}" xr6:coauthVersionLast="47" xr6:coauthVersionMax="47" xr10:uidLastSave="{00000000-0000-0000-0000-000000000000}"/>
  <bookViews>
    <workbookView xWindow="-120" yWindow="-120" windowWidth="29040" windowHeight="15720" xr2:uid="{B68BE174-F8AD-44B8-A675-941792E8E583}"/>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I69" i="1" l="1"/>
  <c r="D69" i="1"/>
  <c r="I63" i="1"/>
  <c r="I67" i="1" s="1"/>
  <c r="D63" i="1"/>
  <c r="I62" i="1"/>
  <c r="D54" i="1"/>
  <c r="D53" i="1"/>
  <c r="A57" i="1"/>
  <c r="D62" i="1"/>
  <c r="D64" i="1" s="1"/>
  <c r="D65" i="1" s="1"/>
  <c r="I60" i="1"/>
  <c r="D60" i="1"/>
  <c r="I42" i="1"/>
  <c r="D42" i="1"/>
  <c r="I41" i="1"/>
  <c r="D41" i="1"/>
  <c r="P67" i="1"/>
  <c r="P64" i="1"/>
  <c r="P65" i="1" s="1"/>
  <c r="D67" i="1"/>
  <c r="P59" i="1"/>
  <c r="I58" i="1"/>
  <c r="I59" i="1" s="1"/>
  <c r="P55" i="1"/>
  <c r="P56" i="1" s="1"/>
  <c r="L55" i="1"/>
  <c r="K55" i="1"/>
  <c r="J55" i="1"/>
  <c r="P51" i="1"/>
  <c r="O51" i="1"/>
  <c r="M51" i="1"/>
  <c r="L51" i="1"/>
  <c r="K51" i="1"/>
  <c r="J51" i="1"/>
  <c r="H51" i="1"/>
  <c r="G51" i="1"/>
  <c r="F51" i="1"/>
  <c r="E51" i="1"/>
  <c r="P47" i="1"/>
  <c r="P48" i="1" s="1"/>
  <c r="N44" i="1"/>
  <c r="P43" i="1"/>
  <c r="P44" i="1" s="1"/>
  <c r="N35" i="1"/>
  <c r="I35" i="1"/>
  <c r="D35" i="1"/>
  <c r="P33" i="1"/>
  <c r="P34" i="1" s="1"/>
  <c r="I33" i="1"/>
  <c r="I34" i="1" s="1"/>
  <c r="D33" i="1"/>
  <c r="D34" i="1"/>
  <c r="I32" i="1"/>
  <c r="D32" i="1"/>
  <c r="P30" i="1"/>
  <c r="P31" i="1" s="1"/>
  <c r="I30" i="1"/>
  <c r="I31" i="1" s="1"/>
  <c r="I29" i="1"/>
  <c r="D29" i="1"/>
  <c r="D30" i="1" s="1"/>
  <c r="D31" i="1" s="1"/>
  <c r="I28" i="1"/>
  <c r="D23" i="1"/>
  <c r="D24" i="1" s="1"/>
  <c r="D25" i="1" s="1"/>
  <c r="D28" i="1"/>
  <c r="N26" i="1"/>
  <c r="P25" i="1"/>
  <c r="I25" i="1"/>
  <c r="I24" i="1"/>
  <c r="I13" i="1"/>
  <c r="I14" i="1" s="1"/>
  <c r="D13" i="1"/>
  <c r="D14" i="1" s="1"/>
  <c r="P22" i="1"/>
  <c r="I22" i="1"/>
  <c r="P21" i="1"/>
  <c r="L21" i="1"/>
  <c r="K21" i="1"/>
  <c r="J21" i="1"/>
  <c r="I21" i="1"/>
  <c r="D21" i="1"/>
  <c r="D22" i="1" s="1"/>
  <c r="N17" i="1"/>
  <c r="P17" i="1"/>
  <c r="O17" i="1"/>
  <c r="M17" i="1"/>
  <c r="L17" i="1"/>
  <c r="K17" i="1"/>
  <c r="J17" i="1"/>
  <c r="I17" i="1"/>
  <c r="H17" i="1"/>
  <c r="G17" i="1"/>
  <c r="F17" i="1"/>
  <c r="E17" i="1"/>
  <c r="D17" i="1"/>
  <c r="P13" i="1"/>
  <c r="P14" i="1" s="1"/>
  <c r="N10" i="1"/>
  <c r="P9" i="1"/>
  <c r="P10" i="1" s="1"/>
  <c r="O9" i="1"/>
  <c r="O10" i="1" s="1"/>
  <c r="I9" i="1"/>
  <c r="I10" i="1" s="1"/>
  <c r="D9" i="1"/>
  <c r="D10" i="1" s="1"/>
  <c r="D11" i="1" s="1"/>
  <c r="G11" i="1" s="1"/>
  <c r="I64" i="1" l="1"/>
  <c r="I65" i="1" s="1"/>
  <c r="I68" i="1" s="1"/>
  <c r="I55" i="1"/>
  <c r="I56" i="1" s="1"/>
  <c r="D58" i="1"/>
  <c r="D59" i="1" s="1"/>
  <c r="D55" i="1"/>
  <c r="D56" i="1" s="1"/>
  <c r="I47" i="1"/>
  <c r="I48" i="1" s="1"/>
  <c r="I51" i="1"/>
  <c r="I43" i="1"/>
  <c r="I44" i="1" s="1"/>
  <c r="D43" i="1"/>
  <c r="D44" i="1" s="1"/>
  <c r="D45" i="1" s="1"/>
  <c r="G45" i="1" s="1"/>
  <c r="D51" i="1"/>
  <c r="D47" i="1"/>
  <c r="D48" i="1" s="1"/>
  <c r="D49" i="1" s="1"/>
  <c r="G49" i="1" s="1"/>
  <c r="D68" i="1"/>
  <c r="P68" i="1"/>
  <c r="D15" i="1"/>
  <c r="G15" i="1" s="1"/>
</calcChain>
</file>

<file path=xl/sharedStrings.xml><?xml version="1.0" encoding="utf-8"?>
<sst xmlns="http://schemas.openxmlformats.org/spreadsheetml/2006/main" count="105" uniqueCount="33">
  <si>
    <t>Max Stress</t>
  </si>
  <si>
    <t>X location</t>
  </si>
  <si>
    <t>Y location</t>
  </si>
  <si>
    <t>Max Deflection</t>
  </si>
  <si>
    <t xml:space="preserve">Y location </t>
  </si>
  <si>
    <t>Model Mass</t>
  </si>
  <si>
    <t>lbs</t>
  </si>
  <si>
    <t>Number of Elements</t>
  </si>
  <si>
    <t>Factor of Safety</t>
  </si>
  <si>
    <t>Inner Loop 1</t>
  </si>
  <si>
    <t>Course</t>
  </si>
  <si>
    <t xml:space="preserve">Medium </t>
  </si>
  <si>
    <t>Diff</t>
  </si>
  <si>
    <t>%Dif</t>
  </si>
  <si>
    <t>Fine (if needed)</t>
  </si>
  <si>
    <t>Design 1</t>
  </si>
  <si>
    <t>Change Log</t>
  </si>
  <si>
    <t>Inner Loop 2</t>
  </si>
  <si>
    <t>Inner Loop 3</t>
  </si>
  <si>
    <t>Z Location</t>
  </si>
  <si>
    <t>Node #</t>
  </si>
  <si>
    <t>Design 2</t>
  </si>
  <si>
    <t>Design 3</t>
  </si>
  <si>
    <t>Average % Diff</t>
  </si>
  <si>
    <t xml:space="preserve">Converge? </t>
  </si>
  <si>
    <t>Magnitude (psi)</t>
  </si>
  <si>
    <t>Magnitude(inches)</t>
  </si>
  <si>
    <t>The FEA analysis convereged for Stress and Deflection but not exactly for safety factor. This is most likely because there was some miscalculation for the thickness in component "B" of the model causing very high stress concentrated at the junction of component "B" and "A". A finer mesh was created for acedemic rigor resulting in the stress perecent difference being higher between the fine and medium mesh than between the medium and coarse mesh. The deflection, however, was slightly closer. The safety factor was different by the same amount between both tests. The heat maps of stress and deflection were largely blue outside of the maximum locations, therefore the design change will focus there first. The remedy was decided to be mirroring feature B along the y axis. This eliminates the bending moment of the load and reduced stress greatly</t>
  </si>
  <si>
    <t>Convergence was not achieved throughout FEA analysis for Design 2. It is suspected that stress concentrations at sharp corners of model are to blame. As the mesh gets finer and finer, the calculated  stress gets hisgher and higher in the small corners leading to ever ascending readings for stress and safety factor. The design change was very effective reducing the maximum stress by a factor of 129 (2 orders of magnitude), and the  maximum deflection by a factor of 117.6. The next design change will be to fillet the corners of the part in an attempt to get the FEA to converger itself like a good little boy. Additionally through holes will be added to lighten the part and the thickness of component "C" will be reduced to the same end.</t>
  </si>
  <si>
    <t>BRACKET</t>
  </si>
  <si>
    <t>LINK</t>
  </si>
  <si>
    <t xml:space="preserve">For the most part the FEA reflected previous calculations and the Factor of safety was upheld at or above 4. There is, however about 0.002" of deflection. In order to remediate The thickness will be increased from 0.050 to 2mm (0.078"). Also, because the "B" component was doubled the link can no longer slide into place. There is now a hole through "A" that can accomodate a pin with a diameter of 0.4542". This is still in the same fit classification and schedule of the previous hole so the diameter of of the bracket side of the link will be decreased to 0.45801. </t>
  </si>
  <si>
    <t>The deflection is still do damn high…. Like the rent… and my uncle steve.  Thickening to 2.5mm (0.098")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</si>
</sst>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sz val="11"/>
      <color theme="1"/>
      <name val="Aptos Narrow"/>
      <family val="2"/>
      <scheme val="minor"/>
    </font>
    <font>
      <sz val="12"/>
      <color theme="1"/>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9" fontId="1" fillId="0" borderId="0" applyFont="0" applyFill="0" applyBorder="0" applyAlignment="0" applyProtection="0"/>
  </cellStyleXfs>
  <cellXfs count="10">
    <xf numFmtId="0" fontId="0" fillId="0" borderId="0" xfId="0"/>
    <xf numFmtId="0" fontId="0" fillId="0" borderId="0" xfId="0" applyAlignment="1">
      <alignment horizontal="center" vertical="center"/>
    </xf>
    <xf numFmtId="0" fontId="0" fillId="0" borderId="0" xfId="0" applyAlignment="1">
      <alignment horizontal="center" vertical="center" wrapText="1"/>
    </xf>
    <xf numFmtId="0" fontId="2" fillId="0" borderId="0" xfId="0" applyFont="1" applyAlignment="1">
      <alignment horizontal="center" vertical="center" textRotation="90"/>
    </xf>
    <xf numFmtId="9" fontId="0" fillId="0" borderId="0" xfId="1" applyFont="1" applyAlignment="1">
      <alignment horizontal="center" vertical="center"/>
    </xf>
    <xf numFmtId="0" fontId="0" fillId="0" borderId="0" xfId="1" applyNumberFormat="1" applyFont="1" applyAlignment="1">
      <alignment horizontal="center" vertical="center"/>
    </xf>
    <xf numFmtId="0" fontId="0" fillId="0" borderId="0" xfId="0" applyAlignment="1">
      <alignment horizontal="center" vertical="center" textRotation="90"/>
    </xf>
    <xf numFmtId="0" fontId="0" fillId="0" borderId="0" xfId="0" applyAlignment="1">
      <alignment horizontal="center" vertical="center"/>
    </xf>
    <xf numFmtId="0" fontId="0" fillId="0" borderId="0" xfId="0" applyAlignment="1">
      <alignment horizontal="left" vertical="center" wrapText="1"/>
    </xf>
    <xf numFmtId="0" fontId="2" fillId="0" borderId="0" xfId="0" applyFont="1" applyAlignment="1">
      <alignment horizontal="center" vertical="center" textRotation="90"/>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99899-AA51-4D6F-A5EE-96F2F58AA967}">
  <sheetPr>
    <pageSetUpPr fitToPage="1"/>
  </sheetPr>
  <dimension ref="A4:U70"/>
  <sheetViews>
    <sheetView tabSelected="1" zoomScale="55" zoomScaleNormal="55" workbookViewId="0">
      <selection activeCell="P70" sqref="B4:P70"/>
    </sheetView>
  </sheetViews>
  <sheetFormatPr defaultRowHeight="15" x14ac:dyDescent="0.25"/>
  <cols>
    <col min="1" max="1" width="9.140625" style="1"/>
    <col min="2" max="2" width="11.7109375" style="1" bestFit="1" customWidth="1"/>
    <col min="3" max="3" width="14.7109375" style="1" bestFit="1" customWidth="1"/>
    <col min="4" max="4" width="10.140625" style="1" customWidth="1"/>
    <col min="5" max="5" width="8.28515625" style="1" bestFit="1" customWidth="1"/>
    <col min="6" max="6" width="10.7109375" style="1" bestFit="1" customWidth="1"/>
    <col min="7" max="8" width="9.140625" style="1"/>
    <col min="9" max="9" width="10.28515625" style="1" customWidth="1"/>
    <col min="10" max="12" width="9.140625" style="1"/>
    <col min="13" max="13" width="11.5703125" style="1" bestFit="1" customWidth="1"/>
    <col min="14" max="14" width="11.140625" style="1" customWidth="1"/>
    <col min="15" max="15" width="14.42578125" style="1" bestFit="1" customWidth="1"/>
    <col min="16" max="16384" width="9.140625" style="1"/>
  </cols>
  <sheetData>
    <row r="4" spans="2:16" x14ac:dyDescent="0.25">
      <c r="B4" s="7" t="s">
        <v>29</v>
      </c>
      <c r="C4" s="7"/>
      <c r="D4" s="7"/>
      <c r="E4" s="7"/>
      <c r="F4" s="7"/>
      <c r="G4" s="7"/>
      <c r="H4" s="7"/>
      <c r="I4" s="7"/>
      <c r="J4" s="7"/>
      <c r="K4" s="7"/>
      <c r="L4" s="7"/>
      <c r="M4" s="7"/>
      <c r="N4" s="7"/>
      <c r="O4" s="7"/>
      <c r="P4" s="7"/>
    </row>
    <row r="5" spans="2:16" ht="31.5" customHeight="1" x14ac:dyDescent="0.25">
      <c r="D5" s="7" t="s">
        <v>0</v>
      </c>
      <c r="E5" s="7"/>
      <c r="F5" s="7"/>
      <c r="I5" s="1" t="s">
        <v>3</v>
      </c>
      <c r="N5" s="1" t="s">
        <v>5</v>
      </c>
      <c r="O5" s="2"/>
    </row>
    <row r="6" spans="2:16" s="2" customFormat="1" ht="30" x14ac:dyDescent="0.25">
      <c r="D6" s="2" t="s">
        <v>25</v>
      </c>
      <c r="E6" s="2" t="s">
        <v>1</v>
      </c>
      <c r="F6" s="2" t="s">
        <v>2</v>
      </c>
      <c r="G6" s="2" t="s">
        <v>19</v>
      </c>
      <c r="H6" s="2" t="s">
        <v>20</v>
      </c>
      <c r="I6" s="2" t="s">
        <v>26</v>
      </c>
      <c r="J6" s="2" t="s">
        <v>1</v>
      </c>
      <c r="K6" s="2" t="s">
        <v>4</v>
      </c>
      <c r="L6" s="2" t="s">
        <v>19</v>
      </c>
      <c r="M6" s="2" t="s">
        <v>20</v>
      </c>
      <c r="N6" s="2" t="s">
        <v>6</v>
      </c>
      <c r="O6" s="2" t="s">
        <v>7</v>
      </c>
      <c r="P6" s="2" t="s">
        <v>8</v>
      </c>
    </row>
    <row r="7" spans="2:16" x14ac:dyDescent="0.25">
      <c r="B7" s="9" t="s">
        <v>9</v>
      </c>
      <c r="C7" s="1" t="s">
        <v>10</v>
      </c>
      <c r="D7" s="1">
        <v>184773</v>
      </c>
      <c r="E7" s="1">
        <v>0</v>
      </c>
      <c r="F7" s="1">
        <v>-5.6183400000000001E-2</v>
      </c>
      <c r="G7" s="1">
        <v>0.41704999999999998</v>
      </c>
      <c r="H7" s="1">
        <v>2377</v>
      </c>
      <c r="I7" s="1">
        <v>0.272673</v>
      </c>
      <c r="J7" s="1">
        <v>0.8</v>
      </c>
      <c r="K7" s="1">
        <v>0</v>
      </c>
      <c r="L7" s="1">
        <v>-0.33700000000000002</v>
      </c>
      <c r="M7" s="1">
        <v>2512</v>
      </c>
      <c r="O7" s="1">
        <v>1249</v>
      </c>
      <c r="P7" s="1">
        <v>0.22</v>
      </c>
    </row>
    <row r="8" spans="2:16" x14ac:dyDescent="0.25">
      <c r="B8" s="9"/>
      <c r="C8" s="1" t="s">
        <v>11</v>
      </c>
      <c r="D8" s="1">
        <v>197534</v>
      </c>
      <c r="E8" s="1">
        <v>0</v>
      </c>
      <c r="F8" s="1">
        <v>-3.3709999999999997E-2</v>
      </c>
      <c r="G8" s="1">
        <v>0.41704999999999998</v>
      </c>
      <c r="H8" s="1">
        <v>13271</v>
      </c>
      <c r="I8" s="1">
        <v>0.28205599999999997</v>
      </c>
      <c r="J8" s="1">
        <v>0.8</v>
      </c>
      <c r="K8" s="1">
        <v>0</v>
      </c>
      <c r="L8" s="1">
        <v>-0.33700000000000002</v>
      </c>
      <c r="M8" s="1">
        <v>4</v>
      </c>
      <c r="O8" s="1">
        <v>7998</v>
      </c>
      <c r="P8" s="1">
        <v>0.2</v>
      </c>
    </row>
    <row r="9" spans="2:16" x14ac:dyDescent="0.25">
      <c r="B9" s="9"/>
      <c r="C9" s="1" t="s">
        <v>12</v>
      </c>
      <c r="D9" s="1">
        <f>ABS(D7-D8)</f>
        <v>12761</v>
      </c>
      <c r="I9" s="1">
        <f t="shared" ref="I9" si="0">ABS(I7-I8)</f>
        <v>9.3829999999999747E-3</v>
      </c>
      <c r="O9" s="1">
        <f t="shared" ref="O9:P9" si="1">ABS(O7-O8)</f>
        <v>6749</v>
      </c>
      <c r="P9" s="1">
        <f t="shared" si="1"/>
        <v>1.999999999999999E-2</v>
      </c>
    </row>
    <row r="10" spans="2:16" x14ac:dyDescent="0.25">
      <c r="B10" s="9"/>
      <c r="C10" s="1" t="s">
        <v>13</v>
      </c>
      <c r="D10" s="4">
        <f>IFERROR(IF(ABS(D9/MAX(D8,D7))&gt;0.1,"",ABS(D9/MAX(D8,D7))),"")</f>
        <v>6.4601536950600905E-2</v>
      </c>
      <c r="E10" s="4"/>
      <c r="F10" s="4"/>
      <c r="G10" s="4"/>
      <c r="H10" s="4"/>
      <c r="I10" s="4">
        <f t="shared" ref="I10:P10" si="2">IFERROR(IF(ABS(I9/MAX(I8,I7))&gt;0.1,"",ABS(I9/MAX(I8,I7))),"")</f>
        <v>3.3266443543126099E-2</v>
      </c>
      <c r="J10" s="4"/>
      <c r="K10" s="4"/>
      <c r="L10" s="4"/>
      <c r="M10" s="4"/>
      <c r="N10" s="4" t="str">
        <f t="shared" si="2"/>
        <v/>
      </c>
      <c r="O10" s="4" t="str">
        <f t="shared" si="2"/>
        <v/>
      </c>
      <c r="P10" s="4">
        <f t="shared" si="2"/>
        <v>9.090909090909087E-2</v>
      </c>
    </row>
    <row r="11" spans="2:16" x14ac:dyDescent="0.25">
      <c r="B11" s="9"/>
      <c r="C11" s="1" t="s">
        <v>23</v>
      </c>
      <c r="D11" s="4">
        <f>AVERAGE(D10,I10,P10)</f>
        <v>6.2925690467605946E-2</v>
      </c>
      <c r="E11" s="4"/>
      <c r="F11" s="4" t="s">
        <v>24</v>
      </c>
      <c r="G11" s="4" t="str">
        <f>IF(D11&lt;0.07,"Yes","No")</f>
        <v>Yes</v>
      </c>
      <c r="H11" s="4"/>
      <c r="I11" s="4"/>
      <c r="J11" s="4"/>
      <c r="K11" s="4"/>
      <c r="L11" s="4"/>
      <c r="M11" s="4"/>
      <c r="N11" s="4"/>
      <c r="O11" s="4"/>
      <c r="P11" s="4"/>
    </row>
    <row r="12" spans="2:16" x14ac:dyDescent="0.25">
      <c r="B12" s="9"/>
      <c r="C12" s="1" t="s">
        <v>14</v>
      </c>
      <c r="D12" s="5">
        <v>222927</v>
      </c>
      <c r="E12" s="5">
        <v>0</v>
      </c>
      <c r="F12" s="5">
        <v>0</v>
      </c>
      <c r="G12" s="5">
        <v>3.3835169999999998E-2</v>
      </c>
      <c r="H12" s="5">
        <v>80394</v>
      </c>
      <c r="I12" s="5">
        <v>0.28700900000000001</v>
      </c>
      <c r="J12" s="5">
        <v>0.8</v>
      </c>
      <c r="K12" s="5"/>
      <c r="L12" s="5"/>
      <c r="M12" s="5"/>
      <c r="O12" s="5">
        <v>75281</v>
      </c>
      <c r="P12" s="5">
        <v>0.18</v>
      </c>
    </row>
    <row r="13" spans="2:16" x14ac:dyDescent="0.25">
      <c r="B13" s="9"/>
      <c r="C13" s="1" t="s">
        <v>12</v>
      </c>
      <c r="D13" s="1">
        <f>ABS(D12-MAX(D7,D8))</f>
        <v>25393</v>
      </c>
      <c r="I13" s="1">
        <f t="shared" ref="I13" si="3">ABS(I12-MAX(I7,I8))</f>
        <v>4.9530000000000407E-3</v>
      </c>
      <c r="P13" s="1">
        <f>ABS(P8-P12)</f>
        <v>2.0000000000000018E-2</v>
      </c>
    </row>
    <row r="14" spans="2:16" x14ac:dyDescent="0.25">
      <c r="B14" s="9"/>
      <c r="C14" s="1" t="s">
        <v>13</v>
      </c>
      <c r="D14" s="4">
        <f>IFERROR(IF(ABS(D13/MAX(D12,D8,D7))&gt;0.25,"",ABS(D13/MAX(D12,D8,D7))),"")</f>
        <v>0.11390724317826015</v>
      </c>
      <c r="E14" s="4"/>
      <c r="F14" s="4"/>
      <c r="G14" s="4"/>
      <c r="I14" s="4">
        <f t="shared" ref="I14" si="4">IFERROR(IF(ABS(I13/MAX(I12,I8,I7))&gt;0.25,"",ABS(I13/MAX(I12,I8,I7))),"")</f>
        <v>1.7257298551613506E-2</v>
      </c>
      <c r="J14" s="4"/>
      <c r="K14" s="4"/>
      <c r="L14" s="4"/>
      <c r="O14" s="4"/>
      <c r="P14" s="4">
        <f t="shared" ref="P14" si="5">IFERROR(IF(ABS(P13/MAX(P12,P8,P7))&gt;0.25,"",ABS(P13/MAX(P12,P8,P7))),"")</f>
        <v>9.0909090909090995E-2</v>
      </c>
    </row>
    <row r="15" spans="2:16" x14ac:dyDescent="0.25">
      <c r="B15" s="3"/>
      <c r="C15" s="1" t="s">
        <v>23</v>
      </c>
      <c r="D15" s="4">
        <f>AVERAGE(D14,I14,P14)</f>
        <v>7.4024544212988222E-2</v>
      </c>
      <c r="E15" s="4"/>
      <c r="F15" s="4" t="s">
        <v>24</v>
      </c>
      <c r="G15" s="4" t="str">
        <f>IF(D15&lt;0.07,"Yes","No")</f>
        <v>No</v>
      </c>
      <c r="I15" s="4"/>
      <c r="J15" s="4"/>
      <c r="K15" s="4"/>
      <c r="L15" s="4"/>
      <c r="O15" s="4"/>
      <c r="P15" s="4"/>
    </row>
    <row r="16" spans="2:16" x14ac:dyDescent="0.25">
      <c r="B16" s="3"/>
      <c r="D16" s="4"/>
      <c r="E16" s="4"/>
      <c r="F16" s="4"/>
      <c r="G16" s="4"/>
      <c r="I16" s="4"/>
      <c r="J16" s="4"/>
      <c r="K16" s="4"/>
      <c r="L16" s="4"/>
      <c r="O16" s="4"/>
      <c r="P16" s="4"/>
    </row>
    <row r="17" spans="2:21" ht="27" customHeight="1" x14ac:dyDescent="0.25">
      <c r="B17" s="7" t="s">
        <v>15</v>
      </c>
      <c r="C17" s="7"/>
      <c r="D17" s="1">
        <f>D8</f>
        <v>197534</v>
      </c>
      <c r="E17" s="1">
        <f t="shared" ref="E17:P17" si="6">E8</f>
        <v>0</v>
      </c>
      <c r="F17" s="1">
        <f t="shared" si="6"/>
        <v>-3.3709999999999997E-2</v>
      </c>
      <c r="G17" s="1">
        <f t="shared" si="6"/>
        <v>0.41704999999999998</v>
      </c>
      <c r="H17" s="1">
        <f t="shared" si="6"/>
        <v>13271</v>
      </c>
      <c r="I17" s="1">
        <f t="shared" si="6"/>
        <v>0.28205599999999997</v>
      </c>
      <c r="J17" s="1">
        <f t="shared" si="6"/>
        <v>0.8</v>
      </c>
      <c r="K17" s="1">
        <f t="shared" si="6"/>
        <v>0</v>
      </c>
      <c r="L17" s="1">
        <f t="shared" si="6"/>
        <v>-0.33700000000000002</v>
      </c>
      <c r="M17" s="1">
        <f t="shared" si="6"/>
        <v>4</v>
      </c>
      <c r="N17" s="1">
        <f>107.63/453.592</f>
        <v>0.23728372634437997</v>
      </c>
      <c r="O17" s="1">
        <f t="shared" si="6"/>
        <v>7998</v>
      </c>
      <c r="P17" s="1">
        <f t="shared" si="6"/>
        <v>0.2</v>
      </c>
    </row>
    <row r="18" spans="2:21" ht="120" customHeight="1" x14ac:dyDescent="0.25">
      <c r="B18" s="1" t="s">
        <v>16</v>
      </c>
      <c r="C18" s="8" t="s">
        <v>27</v>
      </c>
      <c r="D18" s="8"/>
      <c r="E18" s="8"/>
      <c r="F18" s="8"/>
      <c r="G18" s="8"/>
      <c r="H18" s="8"/>
      <c r="I18" s="8"/>
      <c r="J18" s="8"/>
      <c r="K18" s="8"/>
      <c r="L18" s="8"/>
      <c r="M18" s="8"/>
      <c r="N18" s="8"/>
      <c r="O18" s="8"/>
      <c r="P18" s="8"/>
    </row>
    <row r="19" spans="2:21" x14ac:dyDescent="0.25">
      <c r="B19" s="6" t="s">
        <v>17</v>
      </c>
      <c r="C19" s="1" t="s">
        <v>10</v>
      </c>
      <c r="D19" s="1">
        <v>8441.67</v>
      </c>
      <c r="E19" s="1">
        <v>0</v>
      </c>
      <c r="F19" s="1">
        <v>-0.33710000000000001</v>
      </c>
      <c r="G19" s="1">
        <v>0.875</v>
      </c>
      <c r="H19" s="1">
        <v>2577</v>
      </c>
      <c r="I19" s="1">
        <v>1.2960000000000001E-3</v>
      </c>
      <c r="J19" s="1">
        <v>0.4</v>
      </c>
      <c r="K19" s="1">
        <v>0.33197900000000002</v>
      </c>
      <c r="L19" s="1">
        <v>5.3690000000000002E-2</v>
      </c>
      <c r="M19" s="1">
        <v>32</v>
      </c>
      <c r="O19" s="1">
        <v>1464</v>
      </c>
      <c r="P19" s="1">
        <v>4.7</v>
      </c>
    </row>
    <row r="20" spans="2:21" x14ac:dyDescent="0.25">
      <c r="B20" s="6"/>
      <c r="C20" s="1" t="s">
        <v>11</v>
      </c>
      <c r="D20" s="1">
        <v>11314.9</v>
      </c>
      <c r="E20" s="1">
        <v>0.8</v>
      </c>
      <c r="F20" s="1">
        <v>-0.33710000000000001</v>
      </c>
      <c r="G20" s="1">
        <v>0.9375</v>
      </c>
      <c r="H20" s="1">
        <v>9233</v>
      </c>
      <c r="I20" s="1">
        <v>1.3651500000000001E-3</v>
      </c>
      <c r="J20" s="1">
        <v>0.4</v>
      </c>
      <c r="K20" s="1">
        <v>0.335254</v>
      </c>
      <c r="L20" s="1">
        <v>3.52366E-2</v>
      </c>
      <c r="M20" s="1">
        <v>12466</v>
      </c>
      <c r="O20" s="1">
        <v>7520</v>
      </c>
      <c r="P20" s="1">
        <v>3.5</v>
      </c>
    </row>
    <row r="21" spans="2:21" x14ac:dyDescent="0.25">
      <c r="B21" s="6"/>
      <c r="C21" s="1" t="s">
        <v>12</v>
      </c>
      <c r="D21" s="1">
        <f t="shared" ref="D21" si="7">ABS(D19-D20)</f>
        <v>2873.2299999999996</v>
      </c>
      <c r="I21" s="1">
        <f t="shared" ref="I21:L21" si="8">ABS(I19-I20)</f>
        <v>6.9150000000000027E-5</v>
      </c>
      <c r="J21" s="1">
        <f t="shared" si="8"/>
        <v>0</v>
      </c>
      <c r="K21" s="1">
        <f t="shared" si="8"/>
        <v>3.2749999999999724E-3</v>
      </c>
      <c r="L21" s="1">
        <f t="shared" si="8"/>
        <v>1.8453400000000002E-2</v>
      </c>
      <c r="P21" s="1">
        <f t="shared" ref="P21" si="9">ABS(P19-P20)</f>
        <v>1.2000000000000002</v>
      </c>
    </row>
    <row r="22" spans="2:21" x14ac:dyDescent="0.25">
      <c r="B22" s="6"/>
      <c r="C22" s="1" t="s">
        <v>13</v>
      </c>
      <c r="D22" s="4">
        <f>IFERROR(IF(ABS(D21/MAX(D20,D19))&gt;0.5,"",ABS(D21/MAX(D20,D19))),"")</f>
        <v>0.25393330917639567</v>
      </c>
      <c r="E22" s="4"/>
      <c r="F22" s="4"/>
      <c r="G22" s="4"/>
      <c r="H22" s="4"/>
      <c r="I22" s="4">
        <f t="shared" ref="I22:P22" si="10">IFERROR(IF(ABS(I21/MAX(I20,I19))&gt;0.5,"",ABS(I21/MAX(I20,I19))),"")</f>
        <v>5.0653774310515348E-2</v>
      </c>
      <c r="J22" s="4"/>
      <c r="K22" s="4"/>
      <c r="L22" s="4"/>
      <c r="M22" s="4"/>
      <c r="N22" s="4"/>
      <c r="O22" s="4"/>
      <c r="P22" s="4">
        <f t="shared" si="10"/>
        <v>0.25531914893617025</v>
      </c>
    </row>
    <row r="23" spans="2:21" x14ac:dyDescent="0.25">
      <c r="B23" s="6"/>
      <c r="C23" s="1" t="s">
        <v>14</v>
      </c>
      <c r="D23" s="1">
        <f>1.52187*POWER(10,4)</f>
        <v>15218.7</v>
      </c>
      <c r="E23" s="1">
        <v>0</v>
      </c>
      <c r="F23" s="1">
        <v>0.33700000000000002</v>
      </c>
      <c r="G23" s="1">
        <v>0.96699999999999997</v>
      </c>
      <c r="H23" s="1">
        <v>87218</v>
      </c>
      <c r="I23" s="1">
        <v>1.3978899999999999E-3</v>
      </c>
      <c r="J23" s="1">
        <v>0.4</v>
      </c>
      <c r="K23" s="1">
        <v>-0.335254</v>
      </c>
      <c r="L23" s="1">
        <v>3.5236700000000003E-2</v>
      </c>
      <c r="M23" s="1">
        <v>334</v>
      </c>
      <c r="O23" s="1">
        <v>62871</v>
      </c>
      <c r="P23" s="1">
        <v>2.6</v>
      </c>
      <c r="U23" s="1">
        <v>453.59199999999998</v>
      </c>
    </row>
    <row r="24" spans="2:21" x14ac:dyDescent="0.25">
      <c r="B24" s="6"/>
      <c r="C24" s="1" t="s">
        <v>12</v>
      </c>
      <c r="D24" s="1">
        <f>ABS(D23-MAX(D19,D20))</f>
        <v>3903.8000000000011</v>
      </c>
      <c r="I24" s="1">
        <f t="shared" ref="I24" si="11">ABS(I23-MAX(I18,I19))</f>
        <v>1.0188999999999988E-4</v>
      </c>
      <c r="P24" s="1">
        <v>0.5</v>
      </c>
    </row>
    <row r="25" spans="2:21" x14ac:dyDescent="0.25">
      <c r="B25" s="6"/>
      <c r="C25" s="1" t="s">
        <v>13</v>
      </c>
      <c r="D25" s="4">
        <f>IFERROR(IF(ABS(D24/MAX(D23,D19,D18))&gt;0.5,"",ABS(D24/MAX(D23,D19,D18))),"")</f>
        <v>0.25651336842174438</v>
      </c>
      <c r="I25" s="4">
        <f>IFERROR(IF(ABS(I24/MAX(I23,I19,I18))&gt;0.25,"",ABS(I24/MAX(I23,I19,I18))),"")</f>
        <v>7.2888424697222162E-2</v>
      </c>
      <c r="P25" s="4">
        <f>IFERROR(IF(ABS(P24/MAX(P23,P19,P18))&gt;0.25,"",ABS(P24/MAX(P23,P19,P18))),"")</f>
        <v>0.10638297872340426</v>
      </c>
    </row>
    <row r="26" spans="2:21" ht="27" customHeight="1" x14ac:dyDescent="0.25">
      <c r="B26" s="7" t="s">
        <v>21</v>
      </c>
      <c r="C26" s="7"/>
      <c r="D26" s="1">
        <v>1521.87</v>
      </c>
      <c r="E26" s="1">
        <v>0</v>
      </c>
      <c r="F26" s="1">
        <v>0.33700000000000002</v>
      </c>
      <c r="G26" s="1">
        <v>0.96699999999999997</v>
      </c>
      <c r="H26" s="1">
        <v>87218</v>
      </c>
      <c r="I26" s="1">
        <v>1.3978899999999999E-3</v>
      </c>
      <c r="J26" s="1">
        <v>0.4</v>
      </c>
      <c r="K26" s="1">
        <v>-0.335254</v>
      </c>
      <c r="L26" s="1">
        <v>3.5236700000000003E-2</v>
      </c>
      <c r="M26" s="1">
        <v>334</v>
      </c>
      <c r="N26" s="1">
        <f>122.95/453.592</f>
        <v>0.27105857246159548</v>
      </c>
      <c r="O26" s="1">
        <v>62871</v>
      </c>
      <c r="P26" s="1">
        <v>2.6</v>
      </c>
    </row>
    <row r="27" spans="2:21" ht="120" customHeight="1" x14ac:dyDescent="0.25">
      <c r="B27" s="1" t="s">
        <v>16</v>
      </c>
      <c r="C27" s="8" t="s">
        <v>28</v>
      </c>
      <c r="D27" s="8"/>
      <c r="E27" s="8"/>
      <c r="F27" s="8"/>
      <c r="G27" s="8"/>
      <c r="H27" s="8"/>
      <c r="I27" s="8"/>
      <c r="J27" s="8"/>
      <c r="K27" s="8"/>
      <c r="L27" s="8"/>
      <c r="M27" s="8"/>
      <c r="N27" s="8"/>
      <c r="O27" s="8"/>
    </row>
    <row r="28" spans="2:21" x14ac:dyDescent="0.25">
      <c r="B28" s="6" t="s">
        <v>18</v>
      </c>
      <c r="C28" s="1" t="s">
        <v>10</v>
      </c>
      <c r="D28" s="1">
        <f>8.31356*POWER(10,3)</f>
        <v>8313.5600000000013</v>
      </c>
      <c r="E28" s="1">
        <v>-0.147344</v>
      </c>
      <c r="F28" s="1">
        <v>0.22364999999999999</v>
      </c>
      <c r="G28" s="1">
        <v>-3.9435600000000001E-2</v>
      </c>
      <c r="H28" s="1">
        <v>11</v>
      </c>
      <c r="I28" s="1">
        <f>8.43501*POWER(10,-4)</f>
        <v>8.4350100000000008E-4</v>
      </c>
      <c r="J28" s="1">
        <v>0.4</v>
      </c>
      <c r="K28" s="1">
        <v>0</v>
      </c>
      <c r="L28" s="1">
        <v>-0.2271</v>
      </c>
      <c r="M28" s="1">
        <v>129</v>
      </c>
      <c r="O28" s="1">
        <v>2323</v>
      </c>
      <c r="P28" s="1">
        <v>4.8</v>
      </c>
    </row>
    <row r="29" spans="2:21" x14ac:dyDescent="0.25">
      <c r="B29" s="6"/>
      <c r="C29" s="1" t="s">
        <v>11</v>
      </c>
      <c r="D29" s="1">
        <f>1.01234*POWER(10,4)</f>
        <v>10123.4</v>
      </c>
      <c r="E29" s="1">
        <v>0.156</v>
      </c>
      <c r="F29" s="1">
        <v>-0.2271</v>
      </c>
      <c r="G29" s="1">
        <v>0</v>
      </c>
      <c r="H29" s="1">
        <v>156</v>
      </c>
      <c r="I29" s="1">
        <f>8.72934*POWER(10,-4)</f>
        <v>8.7293400000000012E-4</v>
      </c>
      <c r="J29" s="1">
        <v>0.4</v>
      </c>
      <c r="K29" s="1">
        <v>0</v>
      </c>
      <c r="L29" s="1">
        <v>-0.2271</v>
      </c>
      <c r="M29" s="1">
        <v>15524</v>
      </c>
      <c r="O29" s="1">
        <v>9248</v>
      </c>
      <c r="P29" s="1">
        <v>3.9</v>
      </c>
    </row>
    <row r="30" spans="2:21" x14ac:dyDescent="0.25">
      <c r="B30" s="6"/>
      <c r="C30" s="1" t="s">
        <v>12</v>
      </c>
      <c r="D30" s="1">
        <f t="shared" ref="D30" si="12">ABS(D28-D29)</f>
        <v>1809.8399999999983</v>
      </c>
      <c r="I30" s="1">
        <f t="shared" ref="I30" si="13">ABS(I28-I29)</f>
        <v>2.9433000000000042E-5</v>
      </c>
      <c r="P30" s="1">
        <f t="shared" ref="P30" si="14">ABS(P28-P29)</f>
        <v>0.89999999999999991</v>
      </c>
      <c r="U30" s="1">
        <v>122.95</v>
      </c>
    </row>
    <row r="31" spans="2:21" x14ac:dyDescent="0.25">
      <c r="B31" s="6"/>
      <c r="C31" s="1" t="s">
        <v>13</v>
      </c>
      <c r="D31" s="4">
        <f>IFERROR(IF(ABS(D30/MAX(D29,D28))&gt;0.5,"",ABS(D30/MAX(D29,D28))),"")</f>
        <v>0.17877788094908809</v>
      </c>
      <c r="I31" s="4">
        <f>IFERROR(IF(ABS(I30/MAX(I29,I28))&gt;0.5,"",ABS(I30/MAX(I29,I28))),"")</f>
        <v>3.3717325708472849E-2</v>
      </c>
      <c r="P31" s="4">
        <f>IFERROR(IF(ABS(P30/MAX(P29,P28))&gt;0.5,"",ABS(P30/MAX(P29,P28))),"")</f>
        <v>0.1875</v>
      </c>
    </row>
    <row r="32" spans="2:21" x14ac:dyDescent="0.25">
      <c r="B32" s="6"/>
      <c r="C32" s="1" t="s">
        <v>14</v>
      </c>
      <c r="D32" s="1">
        <f>1.06213*POWER(10,4)</f>
        <v>10621.300000000001</v>
      </c>
      <c r="E32" s="1">
        <v>-0.147344</v>
      </c>
      <c r="F32" s="1">
        <v>-0.225157</v>
      </c>
      <c r="G32" s="1">
        <v>-2.9642600000000002E-2</v>
      </c>
      <c r="H32" s="1">
        <v>88182</v>
      </c>
      <c r="I32" s="1">
        <f>8.84499*POWER(10,-4)</f>
        <v>8.8449899999999996E-4</v>
      </c>
      <c r="J32" s="1">
        <v>0.38390200000000002</v>
      </c>
      <c r="K32" s="1">
        <v>0</v>
      </c>
      <c r="L32" s="1">
        <v>-2.51763</v>
      </c>
      <c r="M32" s="1">
        <v>87883</v>
      </c>
      <c r="O32" s="1">
        <v>55976</v>
      </c>
      <c r="P32" s="1">
        <v>3.8</v>
      </c>
    </row>
    <row r="33" spans="2:16" x14ac:dyDescent="0.25">
      <c r="B33" s="6"/>
      <c r="C33" s="1" t="s">
        <v>12</v>
      </c>
      <c r="D33" s="1">
        <f>ABS(D29-D32)</f>
        <v>497.90000000000146</v>
      </c>
      <c r="I33" s="1">
        <f>ABS(I29-I32)</f>
        <v>1.1564999999999839E-5</v>
      </c>
      <c r="P33" s="1">
        <f>ABS(P29-P32)</f>
        <v>0.10000000000000009</v>
      </c>
    </row>
    <row r="34" spans="2:16" x14ac:dyDescent="0.25">
      <c r="B34" s="6"/>
      <c r="C34" s="1" t="s">
        <v>13</v>
      </c>
      <c r="D34" s="4">
        <f>IFERROR(IF(ABS(D33/MAX(D32,D31))&gt;0.5,"",ABS(D33/MAX(D32,D31))),"")</f>
        <v>4.6877500870891646E-2</v>
      </c>
      <c r="I34" s="4">
        <f>IFERROR(IF(ABS(I33/MAX(I32,I31))&gt;0.5,"",ABS(I33/MAX(I32,I31))),"")</f>
        <v>3.4299873305472929E-4</v>
      </c>
      <c r="P34" s="4">
        <f>IFERROR(IF(ABS(P33/MAX(P32,P31))&gt;0.5,"",ABS(P33/MAX(P32,P31))),"")</f>
        <v>2.6315789473684237E-2</v>
      </c>
    </row>
    <row r="35" spans="2:16" ht="27" customHeight="1" x14ac:dyDescent="0.25">
      <c r="B35" s="7" t="s">
        <v>22</v>
      </c>
      <c r="C35" s="7"/>
      <c r="D35" s="1">
        <f>1.06213*POWER(10,4)</f>
        <v>10621.300000000001</v>
      </c>
      <c r="E35" s="1">
        <v>-0.147344</v>
      </c>
      <c r="F35" s="1">
        <v>-0.225157</v>
      </c>
      <c r="G35" s="1">
        <v>-2.9642600000000002E-2</v>
      </c>
      <c r="H35" s="1">
        <v>88182</v>
      </c>
      <c r="I35" s="1">
        <f>8.84499*POWER(10,-4)</f>
        <v>8.8449899999999996E-4</v>
      </c>
      <c r="J35" s="1">
        <v>0.38390200000000002</v>
      </c>
      <c r="K35" s="1">
        <v>0</v>
      </c>
      <c r="L35" s="1">
        <v>-2.51763</v>
      </c>
      <c r="M35" s="1">
        <v>87883</v>
      </c>
      <c r="N35" s="1">
        <f>101.32/453.592</f>
        <v>0.22337254625302033</v>
      </c>
      <c r="O35" s="1">
        <v>55976</v>
      </c>
      <c r="P35" s="1">
        <v>3.8</v>
      </c>
    </row>
    <row r="36" spans="2:16" x14ac:dyDescent="0.25">
      <c r="B36" s="1" t="s">
        <v>16</v>
      </c>
      <c r="C36" s="7"/>
      <c r="D36" s="7"/>
      <c r="E36" s="7"/>
      <c r="F36" s="7"/>
      <c r="G36" s="7"/>
      <c r="H36" s="7"/>
      <c r="I36" s="7"/>
      <c r="J36" s="7"/>
      <c r="K36" s="7"/>
      <c r="L36" s="7"/>
      <c r="M36" s="7"/>
      <c r="N36" s="7"/>
      <c r="O36" s="7"/>
    </row>
    <row r="38" spans="2:16" x14ac:dyDescent="0.25">
      <c r="B38" s="7" t="s">
        <v>30</v>
      </c>
      <c r="C38" s="7"/>
      <c r="D38" s="7"/>
      <c r="E38" s="7"/>
      <c r="F38" s="7"/>
      <c r="G38" s="7"/>
      <c r="H38" s="7"/>
      <c r="I38" s="7"/>
      <c r="J38" s="7"/>
      <c r="K38" s="7"/>
      <c r="L38" s="7"/>
      <c r="M38" s="7"/>
      <c r="N38" s="7"/>
      <c r="O38" s="7"/>
      <c r="P38" s="7"/>
    </row>
    <row r="39" spans="2:16" x14ac:dyDescent="0.25">
      <c r="D39" s="7" t="s">
        <v>0</v>
      </c>
      <c r="E39" s="7"/>
      <c r="F39" s="7"/>
      <c r="I39" s="1" t="s">
        <v>3</v>
      </c>
      <c r="N39" s="1" t="s">
        <v>5</v>
      </c>
      <c r="O39" s="2"/>
    </row>
    <row r="40" spans="2:16" ht="30" x14ac:dyDescent="0.25">
      <c r="B40" s="2"/>
      <c r="C40" s="2"/>
      <c r="D40" s="2" t="s">
        <v>25</v>
      </c>
      <c r="E40" s="2" t="s">
        <v>1</v>
      </c>
      <c r="F40" s="2" t="s">
        <v>2</v>
      </c>
      <c r="G40" s="2" t="s">
        <v>19</v>
      </c>
      <c r="H40" s="2" t="s">
        <v>20</v>
      </c>
      <c r="I40" s="2" t="s">
        <v>26</v>
      </c>
      <c r="J40" s="2" t="s">
        <v>1</v>
      </c>
      <c r="K40" s="2" t="s">
        <v>4</v>
      </c>
      <c r="L40" s="2" t="s">
        <v>19</v>
      </c>
      <c r="M40" s="2" t="s">
        <v>20</v>
      </c>
      <c r="N40" s="2" t="s">
        <v>6</v>
      </c>
      <c r="O40" s="2" t="s">
        <v>7</v>
      </c>
      <c r="P40" s="2" t="s">
        <v>8</v>
      </c>
    </row>
    <row r="41" spans="2:16" x14ac:dyDescent="0.25">
      <c r="B41" s="9" t="s">
        <v>9</v>
      </c>
      <c r="C41" s="1" t="s">
        <v>10</v>
      </c>
      <c r="D41" s="1">
        <f>2.54975*POWER(10,4)</f>
        <v>25497.5</v>
      </c>
      <c r="E41" s="1">
        <v>2.5000000000000001E-2</v>
      </c>
      <c r="F41" s="1">
        <v>-0.49915399999999999</v>
      </c>
      <c r="G41" s="1">
        <v>-0.55867699999999998</v>
      </c>
      <c r="H41" s="1">
        <v>3899</v>
      </c>
      <c r="I41" s="1">
        <f>2.10673*POWER(10,-3)</f>
        <v>2.1067300000000002E-3</v>
      </c>
      <c r="J41" s="1">
        <v>0</v>
      </c>
      <c r="K41" s="1">
        <v>0</v>
      </c>
      <c r="L41" s="1">
        <v>-1.08775</v>
      </c>
      <c r="M41" s="1">
        <v>3766</v>
      </c>
      <c r="O41" s="1">
        <v>1817</v>
      </c>
      <c r="P41" s="1">
        <v>4.7</v>
      </c>
    </row>
    <row r="42" spans="2:16" x14ac:dyDescent="0.25">
      <c r="B42" s="9"/>
      <c r="C42" s="1" t="s">
        <v>11</v>
      </c>
      <c r="D42" s="1">
        <f>2.5789*POWER(10,4)</f>
        <v>25789</v>
      </c>
      <c r="E42" s="1">
        <v>0</v>
      </c>
      <c r="F42" s="1">
        <v>-0.5</v>
      </c>
      <c r="G42" s="1">
        <v>-0.58774999999999999</v>
      </c>
      <c r="H42" s="1">
        <v>15980</v>
      </c>
      <c r="I42" s="1">
        <f>2.10866*POWER(10,-3)</f>
        <v>2.10866E-3</v>
      </c>
      <c r="J42" s="1">
        <v>0.05</v>
      </c>
      <c r="K42" s="1">
        <v>0</v>
      </c>
      <c r="L42" s="1">
        <v>-1.08775</v>
      </c>
      <c r="M42" s="1">
        <v>47</v>
      </c>
      <c r="O42" s="1">
        <v>8041</v>
      </c>
      <c r="P42" s="1">
        <v>4.7</v>
      </c>
    </row>
    <row r="43" spans="2:16" x14ac:dyDescent="0.25">
      <c r="B43" s="9"/>
      <c r="C43" s="1" t="s">
        <v>12</v>
      </c>
      <c r="D43" s="1">
        <f>ABS(D41-D42)</f>
        <v>291.5</v>
      </c>
      <c r="I43" s="1">
        <f t="shared" ref="I43" si="15">ABS(I41-I42)</f>
        <v>1.9299999999998138E-6</v>
      </c>
      <c r="P43" s="1">
        <f t="shared" ref="P43" si="16">ABS(P41-P42)</f>
        <v>0</v>
      </c>
    </row>
    <row r="44" spans="2:16" x14ac:dyDescent="0.25">
      <c r="B44" s="9"/>
      <c r="C44" s="1" t="s">
        <v>13</v>
      </c>
      <c r="D44" s="4">
        <f>IFERROR(IF(ABS(D43/MAX(D42,D41))&gt;0.1,"",ABS(D43/MAX(D42,D41))),"")</f>
        <v>1.1303268835550041E-2</v>
      </c>
      <c r="E44" s="4"/>
      <c r="F44" s="4"/>
      <c r="G44" s="4"/>
      <c r="H44" s="4"/>
      <c r="I44" s="4">
        <f t="shared" ref="I44" si="17">IFERROR(IF(ABS(I43/MAX(I42,I41))&gt;0.1,"",ABS(I43/MAX(I42,I41))),"")</f>
        <v>9.1527320668093189E-4</v>
      </c>
      <c r="J44" s="4"/>
      <c r="K44" s="4"/>
      <c r="L44" s="4"/>
      <c r="M44" s="4"/>
      <c r="N44" s="4" t="str">
        <f t="shared" ref="N44" si="18">IFERROR(IF(ABS(N43/MAX(N42,N41))&gt;0.1,"",ABS(N43/MAX(N42,N41))),"")</f>
        <v/>
      </c>
      <c r="O44" s="4"/>
      <c r="P44" s="4">
        <f t="shared" ref="P44" si="19">IFERROR(IF(ABS(P43/MAX(P42,P41))&gt;0.1,"",ABS(P43/MAX(P42,P41))),"")</f>
        <v>0</v>
      </c>
    </row>
    <row r="45" spans="2:16" x14ac:dyDescent="0.25">
      <c r="B45" s="9"/>
      <c r="C45" s="1" t="s">
        <v>23</v>
      </c>
      <c r="D45" s="4">
        <f>IFERROR(IF(ABS(D44/MAX(D43,D42))&gt;0.5,"",ABS(D44/MAX(D43,D42))),"")</f>
        <v>4.3829806644499752E-7</v>
      </c>
      <c r="E45" s="4"/>
      <c r="F45" s="4" t="s">
        <v>24</v>
      </c>
      <c r="G45" s="4" t="str">
        <f>IF(D45&lt;0.07,"Yes","No")</f>
        <v>Yes</v>
      </c>
      <c r="H45" s="4"/>
      <c r="I45" s="4"/>
      <c r="J45" s="4"/>
      <c r="K45" s="4"/>
      <c r="L45" s="4"/>
      <c r="M45" s="4"/>
      <c r="N45" s="4"/>
      <c r="O45" s="4"/>
      <c r="P45" s="4"/>
    </row>
    <row r="46" spans="2:16" x14ac:dyDescent="0.25">
      <c r="B46" s="9"/>
      <c r="C46" s="1" t="s">
        <v>14</v>
      </c>
      <c r="D46" s="5"/>
      <c r="E46" s="5"/>
      <c r="F46" s="5"/>
      <c r="G46" s="5"/>
      <c r="H46" s="5"/>
      <c r="I46" s="5"/>
      <c r="J46" s="5"/>
      <c r="K46" s="5"/>
      <c r="L46" s="5"/>
      <c r="M46" s="5"/>
      <c r="O46" s="5"/>
      <c r="P46" s="5"/>
    </row>
    <row r="47" spans="2:16" x14ac:dyDescent="0.25">
      <c r="B47" s="9"/>
      <c r="C47" s="1" t="s">
        <v>12</v>
      </c>
      <c r="D47" s="1">
        <f>ABS(D46-MAX(D41,D42))</f>
        <v>25789</v>
      </c>
      <c r="I47" s="1">
        <f t="shared" ref="I47" si="20">ABS(I46-MAX(I41,I42))</f>
        <v>2.10866E-3</v>
      </c>
      <c r="P47" s="1">
        <f>ABS(P42-P46)</f>
        <v>4.7</v>
      </c>
    </row>
    <row r="48" spans="2:16" x14ac:dyDescent="0.25">
      <c r="B48" s="9"/>
      <c r="C48" s="1" t="s">
        <v>13</v>
      </c>
      <c r="D48" s="4" t="str">
        <f>IFERROR(IF(ABS(D47/MAX(D46,D42,D41))&gt;0.25,"",ABS(D47/MAX(D46,D42,D41))),"")</f>
        <v/>
      </c>
      <c r="E48" s="4"/>
      <c r="F48" s="4"/>
      <c r="G48" s="4"/>
      <c r="I48" s="4" t="str">
        <f t="shared" ref="I48" si="21">IFERROR(IF(ABS(I47/MAX(I46,I42,I41))&gt;0.25,"",ABS(I47/MAX(I46,I42,I41))),"")</f>
        <v/>
      </c>
      <c r="J48" s="4"/>
      <c r="K48" s="4"/>
      <c r="L48" s="4"/>
      <c r="O48" s="4"/>
      <c r="P48" s="4" t="str">
        <f t="shared" ref="P48" si="22">IFERROR(IF(ABS(P47/MAX(P46,P42,P41))&gt;0.25,"",ABS(P47/MAX(P46,P42,P41))),"")</f>
        <v/>
      </c>
    </row>
    <row r="49" spans="1:16" x14ac:dyDescent="0.25">
      <c r="B49" s="3"/>
      <c r="C49" s="1" t="s">
        <v>23</v>
      </c>
      <c r="D49" s="4" t="str">
        <f>IFERROR(IF(ABS(D48/MAX(D47,D46))&gt;0.5,"",ABS(D48/MAX(D47,D46))),"")</f>
        <v/>
      </c>
      <c r="E49" s="4"/>
      <c r="F49" s="4" t="s">
        <v>24</v>
      </c>
      <c r="G49" s="4" t="str">
        <f>IF(D49&lt;0.07,"Yes","No")</f>
        <v>No</v>
      </c>
      <c r="I49" s="4"/>
      <c r="J49" s="4"/>
      <c r="K49" s="4"/>
      <c r="L49" s="4"/>
      <c r="O49" s="4"/>
      <c r="P49" s="4"/>
    </row>
    <row r="50" spans="1:16" x14ac:dyDescent="0.25">
      <c r="B50" s="3"/>
      <c r="D50" s="4"/>
      <c r="E50" s="4"/>
      <c r="F50" s="4"/>
      <c r="G50" s="4"/>
      <c r="I50" s="4"/>
      <c r="J50" s="4"/>
      <c r="K50" s="4"/>
      <c r="L50" s="4"/>
      <c r="O50" s="4"/>
      <c r="P50" s="4"/>
    </row>
    <row r="51" spans="1:16" ht="29.25" customHeight="1" x14ac:dyDescent="0.25">
      <c r="B51" s="7" t="s">
        <v>15</v>
      </c>
      <c r="C51" s="7"/>
      <c r="D51" s="1">
        <f>D42</f>
        <v>25789</v>
      </c>
      <c r="E51" s="1">
        <f t="shared" ref="E51:M51" si="23">E42</f>
        <v>0</v>
      </c>
      <c r="F51" s="1">
        <f t="shared" si="23"/>
        <v>-0.5</v>
      </c>
      <c r="G51" s="1">
        <f t="shared" si="23"/>
        <v>-0.58774999999999999</v>
      </c>
      <c r="H51" s="1">
        <f t="shared" si="23"/>
        <v>15980</v>
      </c>
      <c r="I51" s="1">
        <f t="shared" si="23"/>
        <v>2.10866E-3</v>
      </c>
      <c r="J51" s="1">
        <f t="shared" si="23"/>
        <v>0.05</v>
      </c>
      <c r="K51" s="1">
        <f t="shared" si="23"/>
        <v>0</v>
      </c>
      <c r="L51" s="1">
        <f t="shared" si="23"/>
        <v>-1.08775</v>
      </c>
      <c r="M51" s="1">
        <f t="shared" si="23"/>
        <v>47</v>
      </c>
      <c r="N51" s="1">
        <v>0.03</v>
      </c>
      <c r="O51" s="1">
        <f t="shared" ref="O51:P51" si="24">O42</f>
        <v>8041</v>
      </c>
      <c r="P51" s="1">
        <f t="shared" si="24"/>
        <v>4.7</v>
      </c>
    </row>
    <row r="52" spans="1:16" ht="119.25" customHeight="1" x14ac:dyDescent="0.25">
      <c r="B52" s="1" t="s">
        <v>16</v>
      </c>
      <c r="C52" s="8" t="s">
        <v>31</v>
      </c>
      <c r="D52" s="8"/>
      <c r="E52" s="8"/>
      <c r="F52" s="8"/>
      <c r="G52" s="8"/>
      <c r="H52" s="8"/>
      <c r="I52" s="8"/>
      <c r="J52" s="8"/>
      <c r="K52" s="8"/>
      <c r="L52" s="8"/>
      <c r="M52" s="8"/>
      <c r="N52" s="8"/>
      <c r="O52" s="8"/>
      <c r="P52" s="8"/>
    </row>
    <row r="53" spans="1:16" x14ac:dyDescent="0.25">
      <c r="B53" s="6" t="s">
        <v>17</v>
      </c>
      <c r="C53" s="1" t="s">
        <v>10</v>
      </c>
      <c r="D53" s="1">
        <f>1.90455*POWER(10,4)</f>
        <v>19045.5</v>
      </c>
      <c r="E53" s="1">
        <v>2.5000000000000001E-2</v>
      </c>
      <c r="F53" s="1">
        <v>-0.49726100000000001</v>
      </c>
      <c r="G53" s="1">
        <v>-0.42513600000000001</v>
      </c>
      <c r="H53" s="1">
        <v>1116</v>
      </c>
      <c r="I53" s="1">
        <v>1.439E-3</v>
      </c>
      <c r="J53" s="1">
        <v>0.05</v>
      </c>
      <c r="K53" s="1">
        <v>0</v>
      </c>
      <c r="L53" s="1">
        <v>-0.97740099999999996</v>
      </c>
      <c r="M53" s="1">
        <v>1060</v>
      </c>
      <c r="O53" s="1">
        <v>538</v>
      </c>
      <c r="P53" s="1">
        <v>4.5999999999999996</v>
      </c>
    </row>
    <row r="54" spans="1:16" x14ac:dyDescent="0.25">
      <c r="B54" s="6"/>
      <c r="C54" s="1" t="s">
        <v>11</v>
      </c>
      <c r="D54" s="1">
        <f>1.98165*POWER(10,4)</f>
        <v>19816.5</v>
      </c>
      <c r="E54" s="1">
        <v>0.05</v>
      </c>
      <c r="F54" s="1">
        <v>0.05</v>
      </c>
      <c r="G54" s="1">
        <v>-0.47740100000000002</v>
      </c>
      <c r="H54" s="1">
        <v>14235</v>
      </c>
      <c r="I54" s="1">
        <v>1.4959999999999999E-3</v>
      </c>
      <c r="J54" s="1">
        <v>0.05</v>
      </c>
      <c r="K54" s="1">
        <v>0</v>
      </c>
      <c r="L54" s="1">
        <v>-0.97740099999999996</v>
      </c>
      <c r="M54" s="1">
        <v>103</v>
      </c>
      <c r="O54" s="1">
        <v>8130</v>
      </c>
      <c r="P54" s="1">
        <v>4.5</v>
      </c>
    </row>
    <row r="55" spans="1:16" x14ac:dyDescent="0.25">
      <c r="B55" s="6"/>
      <c r="C55" s="1" t="s">
        <v>12</v>
      </c>
      <c r="D55" s="1">
        <f t="shared" ref="D55" si="25">ABS(D53-D54)</f>
        <v>771</v>
      </c>
      <c r="I55" s="1">
        <f t="shared" ref="I55" si="26">ABS(I53-I54)</f>
        <v>5.6999999999999976E-5</v>
      </c>
      <c r="J55" s="1">
        <f t="shared" ref="J55" si="27">ABS(J53-J54)</f>
        <v>0</v>
      </c>
      <c r="K55" s="1">
        <f t="shared" ref="K55" si="28">ABS(K53-K54)</f>
        <v>0</v>
      </c>
      <c r="L55" s="1">
        <f t="shared" ref="L55" si="29">ABS(L53-L54)</f>
        <v>0</v>
      </c>
      <c r="P55" s="1">
        <f t="shared" ref="P55" si="30">ABS(P53-P54)</f>
        <v>9.9999999999999645E-2</v>
      </c>
    </row>
    <row r="56" spans="1:16" x14ac:dyDescent="0.25">
      <c r="B56" s="6"/>
      <c r="C56" s="1" t="s">
        <v>13</v>
      </c>
      <c r="D56" s="4">
        <f>IFERROR(IF(ABS(D55/MAX(D54,D53))&gt;0.5,"",ABS(D55/MAX(D54,D53))),"")</f>
        <v>3.8906971463174629E-2</v>
      </c>
      <c r="E56" s="4"/>
      <c r="F56" s="4"/>
      <c r="G56" s="4"/>
      <c r="H56" s="4"/>
      <c r="I56" s="4">
        <f t="shared" ref="I56" si="31">IFERROR(IF(ABS(I55/MAX(I54,I53))&gt;0.5,"",ABS(I55/MAX(I54,I53))),"")</f>
        <v>3.8101604278074852E-2</v>
      </c>
      <c r="J56" s="4"/>
      <c r="K56" s="4"/>
      <c r="L56" s="4"/>
      <c r="M56" s="4"/>
      <c r="N56" s="4"/>
      <c r="O56" s="4"/>
      <c r="P56" s="4">
        <f t="shared" ref="P56" si="32">IFERROR(IF(ABS(P55/MAX(P54,P53))&gt;0.5,"",ABS(P55/MAX(P54,P53))),"")</f>
        <v>2.1739130434782532E-2</v>
      </c>
    </row>
    <row r="57" spans="1:16" x14ac:dyDescent="0.25">
      <c r="A57" s="1">
        <f>0.5*(25+13)</f>
        <v>19</v>
      </c>
      <c r="B57" s="6"/>
      <c r="C57" s="1" t="s">
        <v>14</v>
      </c>
    </row>
    <row r="58" spans="1:16" x14ac:dyDescent="0.25">
      <c r="B58" s="6"/>
      <c r="C58" s="1" t="s">
        <v>12</v>
      </c>
      <c r="D58" s="1">
        <f>ABS(D57-MAX(D53,D54))</f>
        <v>19816.5</v>
      </c>
      <c r="I58" s="1">
        <f t="shared" ref="I58" si="33">ABS(I57-MAX(I52,I53))</f>
        <v>1.439E-3</v>
      </c>
      <c r="P58" s="1">
        <v>0.5</v>
      </c>
    </row>
    <row r="59" spans="1:16" x14ac:dyDescent="0.25">
      <c r="B59" s="6"/>
      <c r="C59" s="1" t="s">
        <v>13</v>
      </c>
      <c r="D59" s="4" t="str">
        <f>IFERROR(IF(ABS(D58/MAX(D57,D53,D52))&gt;0.5,"",ABS(D58/MAX(D57,D53,D52))),"")</f>
        <v/>
      </c>
      <c r="I59" s="4" t="str">
        <f>IFERROR(IF(ABS(I58/MAX(I57,I53,I52))&gt;0.25,"",ABS(I58/MAX(I57,I53,I52))),"")</f>
        <v/>
      </c>
      <c r="P59" s="4">
        <f>IFERROR(IF(ABS(P58/MAX(P57,P53,P52))&gt;0.25,"",ABS(P58/MAX(P57,P53,P52))),"")</f>
        <v>0.10869565217391305</v>
      </c>
    </row>
    <row r="60" spans="1:16" ht="27.75" customHeight="1" x14ac:dyDescent="0.25">
      <c r="B60" s="7" t="s">
        <v>21</v>
      </c>
      <c r="C60" s="7"/>
      <c r="D60" s="1">
        <f>2.68165*POWER(10,4)</f>
        <v>26816.5</v>
      </c>
      <c r="E60" s="1">
        <v>0.05</v>
      </c>
      <c r="F60" s="1">
        <v>0.05</v>
      </c>
      <c r="G60" s="1">
        <v>-0.47740100000000002</v>
      </c>
      <c r="H60" s="1">
        <v>14235</v>
      </c>
      <c r="I60" s="1">
        <f>2.31727*POWER(10,-3)</f>
        <v>2.3172700000000002E-3</v>
      </c>
      <c r="J60" s="1">
        <v>0.05</v>
      </c>
      <c r="K60" s="1">
        <v>0</v>
      </c>
      <c r="L60" s="1">
        <v>-0.97740099999999996</v>
      </c>
      <c r="M60" s="1">
        <v>103</v>
      </c>
      <c r="N60" s="1">
        <v>0.05</v>
      </c>
      <c r="O60" s="1">
        <v>8130</v>
      </c>
      <c r="P60" s="1">
        <v>4.5</v>
      </c>
    </row>
    <row r="61" spans="1:16" ht="120" customHeight="1" x14ac:dyDescent="0.25">
      <c r="B61" s="1" t="s">
        <v>16</v>
      </c>
      <c r="C61" s="8" t="s">
        <v>32</v>
      </c>
      <c r="D61" s="8"/>
      <c r="E61" s="8"/>
      <c r="F61" s="8"/>
      <c r="G61" s="8"/>
      <c r="H61" s="8"/>
      <c r="I61" s="8"/>
      <c r="J61" s="8"/>
      <c r="K61" s="8"/>
      <c r="L61" s="8"/>
      <c r="M61" s="8"/>
      <c r="N61" s="8"/>
      <c r="O61" s="8"/>
    </row>
    <row r="62" spans="1:16" x14ac:dyDescent="0.25">
      <c r="B62" s="6" t="s">
        <v>18</v>
      </c>
      <c r="C62" s="1" t="s">
        <v>10</v>
      </c>
      <c r="D62" s="1">
        <f>1.34524*POWER(10,4)</f>
        <v>13452.4</v>
      </c>
      <c r="E62" s="1">
        <v>0</v>
      </c>
      <c r="F62" s="1">
        <v>-0.495722</v>
      </c>
      <c r="G62" s="1">
        <v>-0.41237000000000001</v>
      </c>
      <c r="H62" s="1">
        <v>2620</v>
      </c>
      <c r="I62" s="1">
        <f>1.17553*POWER(10,-3)</f>
        <v>1.1755299999999999E-3</v>
      </c>
      <c r="J62" s="1">
        <v>0</v>
      </c>
      <c r="K62" s="1">
        <v>0</v>
      </c>
      <c r="L62" s="1">
        <v>-0.97740099999999996</v>
      </c>
      <c r="M62" s="1">
        <v>55</v>
      </c>
      <c r="O62" s="1">
        <v>1299</v>
      </c>
      <c r="P62" s="1">
        <v>8.9</v>
      </c>
    </row>
    <row r="63" spans="1:16" x14ac:dyDescent="0.25">
      <c r="B63" s="6"/>
      <c r="C63" s="1" t="s">
        <v>11</v>
      </c>
      <c r="D63" s="1">
        <f>1.35397*POWER(10,4)</f>
        <v>13539.699999999999</v>
      </c>
      <c r="E63" s="1">
        <v>4.9212600000000002E-2</v>
      </c>
      <c r="F63" s="1">
        <v>0.499695</v>
      </c>
      <c r="G63" s="1">
        <v>-0.49485000000000001</v>
      </c>
      <c r="H63" s="1">
        <v>13684</v>
      </c>
      <c r="I63" s="1">
        <f>1.1783*POWER(10,-3)</f>
        <v>1.1783E-3</v>
      </c>
      <c r="J63" s="1">
        <v>0</v>
      </c>
      <c r="K63" s="1">
        <v>0</v>
      </c>
      <c r="L63" s="1">
        <v>-0.97699999999999998</v>
      </c>
      <c r="M63" s="1">
        <v>14848</v>
      </c>
      <c r="O63" s="1">
        <v>8889</v>
      </c>
      <c r="P63" s="1">
        <v>8.9</v>
      </c>
    </row>
    <row r="64" spans="1:16" x14ac:dyDescent="0.25">
      <c r="B64" s="6"/>
      <c r="C64" s="1" t="s">
        <v>12</v>
      </c>
      <c r="D64" s="1">
        <f t="shared" ref="D64" si="34">ABS(D62-D63)</f>
        <v>87.299999999999272</v>
      </c>
      <c r="I64" s="1">
        <f t="shared" ref="I64" si="35">ABS(I62-I63)</f>
        <v>2.7700000000000294E-6</v>
      </c>
      <c r="P64" s="1">
        <f t="shared" ref="P64" si="36">ABS(P62-P63)</f>
        <v>0</v>
      </c>
    </row>
    <row r="65" spans="2:16" x14ac:dyDescent="0.25">
      <c r="B65" s="6"/>
      <c r="C65" s="1" t="s">
        <v>13</v>
      </c>
      <c r="D65" s="4">
        <f>IFERROR(IF(ABS(D64/MAX(D63,D62))&gt;0.5,"",ABS(D64/MAX(D63,D62))),"")</f>
        <v>6.4477056360184703E-3</v>
      </c>
      <c r="I65" s="4">
        <f>IFERROR(IF(ABS(I64/MAX(I63,I62))&gt;0.5,"",ABS(I64/MAX(I63,I62))),"")</f>
        <v>2.3508444369006445E-3</v>
      </c>
      <c r="P65" s="4">
        <f>IFERROR(IF(ABS(P64/MAX(P63,P62))&gt;0.5,"",ABS(P64/MAX(P63,P62))),"")</f>
        <v>0</v>
      </c>
    </row>
    <row r="66" spans="2:16" x14ac:dyDescent="0.25">
      <c r="B66" s="6"/>
      <c r="C66" s="1" t="s">
        <v>14</v>
      </c>
    </row>
    <row r="67" spans="2:16" x14ac:dyDescent="0.25">
      <c r="B67" s="6"/>
      <c r="C67" s="1" t="s">
        <v>12</v>
      </c>
      <c r="D67" s="1">
        <f>ABS(D63-D66)</f>
        <v>13539.699999999999</v>
      </c>
      <c r="I67" s="1">
        <f>ABS(I63-I66)</f>
        <v>1.1783E-3</v>
      </c>
      <c r="P67" s="1">
        <f>ABS(P63-P66)</f>
        <v>8.9</v>
      </c>
    </row>
    <row r="68" spans="2:16" x14ac:dyDescent="0.25">
      <c r="B68" s="6"/>
      <c r="C68" s="1" t="s">
        <v>13</v>
      </c>
      <c r="D68" s="4" t="str">
        <f>IFERROR(IF(ABS(D67/MAX(D66,D65))&gt;0.5,"",ABS(D67/MAX(D66,D65))),"")</f>
        <v/>
      </c>
      <c r="I68" s="4" t="str">
        <f>IFERROR(IF(ABS(I67/MAX(I66,I65))&gt;0.5,"",ABS(I67/MAX(I66,I65))),"")</f>
        <v/>
      </c>
      <c r="P68" s="4" t="str">
        <f>IFERROR(IF(ABS(P67/MAX(P66,P65))&gt;0.5,"",ABS(P67/MAX(P66,P65))),"")</f>
        <v/>
      </c>
    </row>
    <row r="69" spans="2:16" ht="26.25" customHeight="1" x14ac:dyDescent="0.25">
      <c r="B69" s="7" t="s">
        <v>22</v>
      </c>
      <c r="C69" s="7"/>
      <c r="D69" s="1">
        <f>1.35397*POWER(10,4)</f>
        <v>13539.699999999999</v>
      </c>
      <c r="E69" s="1">
        <v>4.9212600000000002E-2</v>
      </c>
      <c r="F69" s="1">
        <v>0.499695</v>
      </c>
      <c r="G69" s="1">
        <v>-0.49485000000000001</v>
      </c>
      <c r="H69" s="1">
        <v>13684</v>
      </c>
      <c r="I69" s="1">
        <f>1.1783*POWER(10,-3)</f>
        <v>1.1783E-3</v>
      </c>
      <c r="J69" s="1">
        <v>0</v>
      </c>
      <c r="K69" s="1">
        <v>0</v>
      </c>
      <c r="L69" s="1">
        <v>-0.97699999999999998</v>
      </c>
      <c r="M69" s="1">
        <v>14848</v>
      </c>
      <c r="N69" s="1">
        <v>0.06</v>
      </c>
      <c r="O69" s="1">
        <v>8889</v>
      </c>
      <c r="P69" s="1">
        <v>8.9</v>
      </c>
    </row>
    <row r="70" spans="2:16" x14ac:dyDescent="0.25">
      <c r="C70" s="7"/>
      <c r="D70" s="7"/>
      <c r="E70" s="7"/>
      <c r="F70" s="7"/>
      <c r="G70" s="7"/>
      <c r="H70" s="7"/>
      <c r="I70" s="7"/>
      <c r="J70" s="7"/>
      <c r="K70" s="7"/>
      <c r="L70" s="7"/>
      <c r="M70" s="7"/>
      <c r="N70" s="7"/>
      <c r="O70" s="7"/>
    </row>
  </sheetData>
  <mergeCells count="22">
    <mergeCell ref="B35:C35"/>
    <mergeCell ref="C70:O70"/>
    <mergeCell ref="B4:P4"/>
    <mergeCell ref="B38:P38"/>
    <mergeCell ref="D39:F39"/>
    <mergeCell ref="B41:B48"/>
    <mergeCell ref="B51:C51"/>
    <mergeCell ref="C52:P52"/>
    <mergeCell ref="C18:P18"/>
    <mergeCell ref="C27:O27"/>
    <mergeCell ref="C36:O36"/>
    <mergeCell ref="D5:F5"/>
    <mergeCell ref="B7:B14"/>
    <mergeCell ref="B19:B25"/>
    <mergeCell ref="B28:B34"/>
    <mergeCell ref="B17:C17"/>
    <mergeCell ref="B26:C26"/>
    <mergeCell ref="B53:B59"/>
    <mergeCell ref="B60:C60"/>
    <mergeCell ref="C61:O61"/>
    <mergeCell ref="B62:B68"/>
    <mergeCell ref="B69:C69"/>
  </mergeCells>
  <pageMargins left="0.7" right="0.7" top="0.75" bottom="0.75" header="0.3" footer="0.3"/>
  <pageSetup scale="42" fitToHeight="0" orientation="portrait" r:id="rId1"/>
  <ignoredErrors>
    <ignoredError sqref="N17" formula="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Austin Hill</dc:creator>
  <cp:lastModifiedBy>Austin Hill</cp:lastModifiedBy>
  <cp:lastPrinted>2026-10-22T10:08:13Z</cp:lastPrinted>
  <dcterms:created xsi:type="dcterms:W3CDTF">2026-10-21T20:34:25Z</dcterms:created>
  <dcterms:modified xsi:type="dcterms:W3CDTF">2026-10-22T10:09:05Z</dcterms:modified>
</cp:coreProperties>
</file>